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by Directorate" sheetId="1" state="visible" r:id="rId1"/>
    <sheet name="YoY Changes (%)" sheetId="2" state="visible" r:id="rId2"/>
    <sheet name="Directorate Shares (%)" sheetId="3" state="visible" r:id="rId3"/>
    <sheet name="Growth Analysis" sheetId="4" state="visible" r:id="rId4"/>
    <sheet name="CSV Export Cache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NASA Budget by Mission Directorate ($ Millions)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2015</v>
      </c>
      <c r="B4" t="n">
        <v>5244</v>
      </c>
      <c r="C4" t="n">
        <v>571</v>
      </c>
      <c r="D4" t="n">
        <v>596</v>
      </c>
      <c r="E4" t="n">
        <v>4506</v>
      </c>
      <c r="F4" t="n">
        <v>5029</v>
      </c>
      <c r="G4" t="n">
        <v>119</v>
      </c>
      <c r="H4" t="n">
        <v>2870</v>
      </c>
      <c r="I4" t="n">
        <v>515</v>
      </c>
      <c r="J4" t="n">
        <v>37</v>
      </c>
      <c r="K4" t="n">
        <v>19487</v>
      </c>
    </row>
    <row r="5">
      <c r="A5" t="n">
        <v>2016</v>
      </c>
      <c r="B5" t="n">
        <v>5589</v>
      </c>
      <c r="C5" t="n">
        <v>640</v>
      </c>
      <c r="D5" t="n">
        <v>687</v>
      </c>
      <c r="E5" t="n">
        <v>4030</v>
      </c>
      <c r="F5" t="n">
        <v>5029</v>
      </c>
      <c r="G5" t="n">
        <v>115</v>
      </c>
      <c r="H5" t="n">
        <v>2769</v>
      </c>
      <c r="I5" t="n">
        <v>389</v>
      </c>
      <c r="J5" t="n">
        <v>37</v>
      </c>
      <c r="K5" s="3" t="inlineStr">
        <is>
          <t>???</t>
        </is>
      </c>
    </row>
    <row r="6">
      <c r="A6" t="n">
        <v>2017</v>
      </c>
      <c r="B6" t="n">
        <v>5765</v>
      </c>
      <c r="C6" t="n">
        <v>660</v>
      </c>
      <c r="D6" t="n">
        <v>686</v>
      </c>
      <c r="E6" t="n">
        <v>4324</v>
      </c>
      <c r="F6" t="n">
        <v>4951</v>
      </c>
      <c r="G6" t="n">
        <v>110</v>
      </c>
      <c r="H6" t="n">
        <v>2830</v>
      </c>
      <c r="I6" t="n">
        <v>388</v>
      </c>
      <c r="J6" t="n">
        <v>38</v>
      </c>
      <c r="K6" t="n">
        <v>19752</v>
      </c>
    </row>
    <row r="7">
      <c r="A7" t="n">
        <v>2018</v>
      </c>
      <c r="B7" t="n">
        <v>6222</v>
      </c>
      <c r="C7" t="n">
        <v>685</v>
      </c>
      <c r="D7" t="n">
        <v>760</v>
      </c>
      <c r="E7" t="n">
        <v>4790</v>
      </c>
      <c r="F7" t="n">
        <v>4752</v>
      </c>
      <c r="G7" t="n">
        <v>110</v>
      </c>
      <c r="H7" t="n">
        <v>2827</v>
      </c>
      <c r="I7" t="n">
        <v>511</v>
      </c>
      <c r="J7" t="n">
        <v>39</v>
      </c>
      <c r="K7" t="n">
        <v>20696</v>
      </c>
    </row>
    <row r="8">
      <c r="A8" t="n">
        <v>2019</v>
      </c>
      <c r="B8" t="n">
        <v>6906</v>
      </c>
      <c r="C8" t="n">
        <v>725</v>
      </c>
      <c r="D8" t="n">
        <v>927</v>
      </c>
      <c r="E8" t="n">
        <v>5047</v>
      </c>
      <c r="F8" s="3" t="inlineStr">
        <is>
          <t>???</t>
        </is>
      </c>
      <c r="G8" t="n">
        <v>110</v>
      </c>
      <c r="H8" t="n">
        <v>2755</v>
      </c>
      <c r="I8" t="n">
        <v>538</v>
      </c>
      <c r="J8" t="n">
        <v>41</v>
      </c>
      <c r="K8" t="n">
        <v>21688</v>
      </c>
    </row>
    <row r="9">
      <c r="A9" t="n">
        <v>2020</v>
      </c>
      <c r="B9" s="3" t="inlineStr">
        <is>
          <t>???</t>
        </is>
      </c>
      <c r="C9" t="n">
        <v>819</v>
      </c>
      <c r="D9" t="n">
        <v>1100</v>
      </c>
      <c r="E9" t="n">
        <v>6017</v>
      </c>
      <c r="F9" t="n">
        <v>3989</v>
      </c>
      <c r="G9" t="n">
        <v>120</v>
      </c>
      <c r="H9" t="n">
        <v>2913</v>
      </c>
      <c r="I9" t="n">
        <v>373</v>
      </c>
      <c r="J9" t="n">
        <v>43</v>
      </c>
      <c r="K9" t="n">
        <v>22513</v>
      </c>
    </row>
    <row r="10">
      <c r="A10" t="n">
        <v>2021</v>
      </c>
      <c r="B10" t="n">
        <v>7301</v>
      </c>
      <c r="C10" t="n">
        <v>829</v>
      </c>
      <c r="D10" t="n">
        <v>1100</v>
      </c>
      <c r="E10" s="3" t="inlineStr">
        <is>
          <t>???</t>
        </is>
      </c>
      <c r="F10" t="n">
        <v>3986</v>
      </c>
      <c r="G10" t="n">
        <v>127</v>
      </c>
      <c r="H10" t="n">
        <v>2953</v>
      </c>
      <c r="I10" t="n">
        <v>390</v>
      </c>
      <c r="J10" t="n">
        <v>44</v>
      </c>
      <c r="K10" s="3" t="inlineStr">
        <is>
          <t>???</t>
        </is>
      </c>
    </row>
    <row r="11">
      <c r="A11" t="n">
        <v>2022</v>
      </c>
      <c r="B11" t="n">
        <v>7614</v>
      </c>
      <c r="C11" t="n">
        <v>881</v>
      </c>
      <c r="D11" t="n">
        <v>1100</v>
      </c>
      <c r="E11" t="n">
        <v>7476</v>
      </c>
      <c r="F11" t="n">
        <v>4042</v>
      </c>
      <c r="G11" t="n">
        <v>143</v>
      </c>
      <c r="H11" t="n">
        <v>3032</v>
      </c>
      <c r="I11" t="n">
        <v>424</v>
      </c>
      <c r="J11" t="n">
        <v>46</v>
      </c>
      <c r="K11" t="n">
        <v>24758</v>
      </c>
    </row>
    <row r="12">
      <c r="A12" t="n">
        <v>2023</v>
      </c>
      <c r="B12" t="n">
        <v>8262</v>
      </c>
      <c r="C12" s="3" t="inlineStr">
        <is>
          <t>???</t>
        </is>
      </c>
      <c r="D12" t="n">
        <v>1192</v>
      </c>
      <c r="E12" t="n">
        <v>7618</v>
      </c>
      <c r="F12" t="n">
        <v>4256</v>
      </c>
      <c r="G12" t="n">
        <v>143</v>
      </c>
      <c r="H12" t="n">
        <v>3106</v>
      </c>
      <c r="I12" t="n">
        <v>424</v>
      </c>
      <c r="J12" t="n">
        <v>47</v>
      </c>
      <c r="K12" t="n">
        <v>25984</v>
      </c>
    </row>
    <row r="13">
      <c r="A13" t="n">
        <v>2024</v>
      </c>
      <c r="B13" t="n">
        <v>8440</v>
      </c>
      <c r="C13" t="n">
        <v>966</v>
      </c>
      <c r="D13" t="n">
        <v>1182</v>
      </c>
      <c r="E13" t="n">
        <v>7618</v>
      </c>
      <c r="F13" t="n">
        <v>4454</v>
      </c>
      <c r="G13" t="n">
        <v>143</v>
      </c>
      <c r="H13" t="n">
        <v>3062</v>
      </c>
      <c r="I13" t="n">
        <v>432</v>
      </c>
      <c r="J13" t="n">
        <v>48</v>
      </c>
      <c r="K13" t="n">
        <v>26345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Budget Changes (%)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2016</v>
      </c>
      <c r="B4" t="n">
        <v>6.58</v>
      </c>
      <c r="C4" t="n">
        <v>12.08</v>
      </c>
      <c r="D4" t="n">
        <v>15.27</v>
      </c>
      <c r="E4" t="n">
        <v>-10.56</v>
      </c>
      <c r="F4" t="n">
        <v>0</v>
      </c>
      <c r="G4" t="n">
        <v>-3.36</v>
      </c>
      <c r="H4" t="n">
        <v>-3.52</v>
      </c>
      <c r="I4" t="n">
        <v>-24.47</v>
      </c>
      <c r="J4" t="n">
        <v>0</v>
      </c>
      <c r="K4" t="n">
        <v>-1.04</v>
      </c>
    </row>
    <row r="5">
      <c r="A5" t="n">
        <v>2017</v>
      </c>
      <c r="B5" t="n">
        <v>3.15</v>
      </c>
      <c r="C5" t="n">
        <v>3.12</v>
      </c>
      <c r="D5" t="n">
        <v>-0.15</v>
      </c>
      <c r="E5" t="n">
        <v>7.3</v>
      </c>
      <c r="F5" t="n">
        <v>-1.55</v>
      </c>
      <c r="G5" t="n">
        <v>-4.35</v>
      </c>
      <c r="H5" t="n">
        <v>2.2</v>
      </c>
      <c r="I5" t="n">
        <v>-0.26</v>
      </c>
      <c r="J5" t="n">
        <v>2.7</v>
      </c>
      <c r="K5" t="n">
        <v>2.42</v>
      </c>
    </row>
    <row r="6">
      <c r="A6" t="n">
        <v>2018</v>
      </c>
      <c r="B6" t="n">
        <v>7.93</v>
      </c>
      <c r="C6" t="n">
        <v>3.79</v>
      </c>
      <c r="D6" t="n">
        <v>10.79</v>
      </c>
      <c r="E6" t="n">
        <v>10.78</v>
      </c>
      <c r="F6" t="n">
        <v>-4.02</v>
      </c>
      <c r="G6" t="n">
        <v>0</v>
      </c>
      <c r="H6" t="n">
        <v>-0.11</v>
      </c>
      <c r="I6" t="n">
        <v>31.7</v>
      </c>
      <c r="J6" t="n">
        <v>2.63</v>
      </c>
      <c r="K6" t="n">
        <v>4.78</v>
      </c>
    </row>
    <row r="7">
      <c r="A7" t="n">
        <v>2019</v>
      </c>
      <c r="B7" t="n">
        <v>10.99</v>
      </c>
      <c r="C7" t="n">
        <v>5.84</v>
      </c>
      <c r="D7" s="3" t="inlineStr">
        <is>
          <t>???</t>
        </is>
      </c>
      <c r="E7" t="n">
        <v>5.37</v>
      </c>
      <c r="F7" t="n">
        <v>-2.38</v>
      </c>
      <c r="G7" t="n">
        <v>0</v>
      </c>
      <c r="H7" t="n">
        <v>-2.55</v>
      </c>
      <c r="I7" t="n">
        <v>5.28</v>
      </c>
      <c r="J7" t="n">
        <v>5.13</v>
      </c>
      <c r="K7" t="n">
        <v>4.79</v>
      </c>
    </row>
    <row r="8">
      <c r="A8" t="n">
        <v>2020</v>
      </c>
      <c r="B8" t="n">
        <v>3.37</v>
      </c>
      <c r="C8" t="n">
        <v>12.97</v>
      </c>
      <c r="D8" t="n">
        <v>18.66</v>
      </c>
      <c r="E8" t="n">
        <v>19.22</v>
      </c>
      <c r="F8" t="n">
        <v>-14.01</v>
      </c>
      <c r="G8" t="n">
        <v>9.09</v>
      </c>
      <c r="H8" t="n">
        <v>5.74</v>
      </c>
      <c r="I8" t="n">
        <v>-30.67</v>
      </c>
      <c r="J8" t="n">
        <v>4.88</v>
      </c>
      <c r="K8" t="n">
        <v>3.8</v>
      </c>
    </row>
    <row r="9">
      <c r="A9" t="n">
        <v>2021</v>
      </c>
      <c r="B9" s="3" t="inlineStr">
        <is>
          <t>???</t>
        </is>
      </c>
      <c r="C9" t="n">
        <v>1.22</v>
      </c>
      <c r="D9" t="n">
        <v>0</v>
      </c>
      <c r="E9" t="n">
        <v>8.94</v>
      </c>
      <c r="F9" s="3" t="inlineStr">
        <is>
          <t>???</t>
        </is>
      </c>
      <c r="G9" t="n">
        <v>5.83</v>
      </c>
      <c r="H9" t="n">
        <v>1.37</v>
      </c>
      <c r="I9" t="n">
        <v>4.56</v>
      </c>
      <c r="J9" t="n">
        <v>2.33</v>
      </c>
      <c r="K9" t="n">
        <v>3.43</v>
      </c>
    </row>
    <row r="10">
      <c r="A10" t="n">
        <v>2022</v>
      </c>
      <c r="B10" t="n">
        <v>4.29</v>
      </c>
      <c r="C10" t="n">
        <v>6.27</v>
      </c>
      <c r="D10" t="n">
        <v>0</v>
      </c>
      <c r="E10" t="n">
        <v>14.05</v>
      </c>
      <c r="F10" t="n">
        <v>1.4</v>
      </c>
      <c r="G10" t="n">
        <v>12.6</v>
      </c>
      <c r="H10" t="n">
        <v>2.68</v>
      </c>
      <c r="I10" t="n">
        <v>8.720000000000001</v>
      </c>
      <c r="J10" t="n">
        <v>4.55</v>
      </c>
      <c r="K10" t="n">
        <v>6.33</v>
      </c>
    </row>
    <row r="11">
      <c r="A11" t="n">
        <v>2023</v>
      </c>
      <c r="B11" t="n">
        <v>8.51</v>
      </c>
      <c r="C11" t="n">
        <v>6.24</v>
      </c>
      <c r="D11" t="n">
        <v>8.359999999999999</v>
      </c>
      <c r="E11" t="n">
        <v>1.9</v>
      </c>
      <c r="F11" t="n">
        <v>5.29</v>
      </c>
      <c r="G11" t="n">
        <v>0</v>
      </c>
      <c r="H11" t="n">
        <v>2.44</v>
      </c>
      <c r="I11" t="n">
        <v>0</v>
      </c>
      <c r="J11" t="n">
        <v>2.17</v>
      </c>
      <c r="K11" t="n">
        <v>4.95</v>
      </c>
    </row>
    <row r="12">
      <c r="A12" t="n">
        <v>2024</v>
      </c>
      <c r="B12" t="n">
        <v>2.15</v>
      </c>
      <c r="C12" t="n">
        <v>3.21</v>
      </c>
      <c r="D12" t="n">
        <v>-0.84</v>
      </c>
      <c r="E12" t="n">
        <v>0</v>
      </c>
      <c r="F12" t="n">
        <v>4.65</v>
      </c>
      <c r="G12" t="n">
        <v>0</v>
      </c>
      <c r="H12" t="n">
        <v>-1.42</v>
      </c>
      <c r="I12" t="n">
        <v>1.89</v>
      </c>
      <c r="J12" t="n">
        <v>2.13</v>
      </c>
      <c r="K12" t="n">
        <v>1.39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Budget Share by Directorate (% of Total)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n">
        <v>2015</v>
      </c>
      <c r="B4" t="n">
        <v>26.91</v>
      </c>
      <c r="C4" t="n">
        <v>2.93</v>
      </c>
      <c r="D4" t="n">
        <v>3.06</v>
      </c>
      <c r="E4" t="n">
        <v>23.12</v>
      </c>
      <c r="F4" t="n">
        <v>25.81</v>
      </c>
      <c r="G4" t="n">
        <v>0.61</v>
      </c>
      <c r="H4" t="n">
        <v>14.73</v>
      </c>
      <c r="I4" t="n">
        <v>2.64</v>
      </c>
      <c r="J4" t="n">
        <v>0.19</v>
      </c>
    </row>
    <row r="5">
      <c r="A5" t="n">
        <v>2016</v>
      </c>
      <c r="B5" t="n">
        <v>28.98</v>
      </c>
      <c r="C5" t="n">
        <v>3.32</v>
      </c>
      <c r="D5" t="n">
        <v>3.56</v>
      </c>
      <c r="E5" t="n">
        <v>20.9</v>
      </c>
      <c r="F5" s="3" t="inlineStr">
        <is>
          <t>???</t>
        </is>
      </c>
      <c r="G5" t="n">
        <v>0.6</v>
      </c>
      <c r="H5" t="n">
        <v>14.36</v>
      </c>
      <c r="I5" t="n">
        <v>2.02</v>
      </c>
      <c r="J5" t="n">
        <v>0.19</v>
      </c>
    </row>
    <row r="6">
      <c r="A6" t="n">
        <v>2017</v>
      </c>
      <c r="B6" t="n">
        <v>29.19</v>
      </c>
      <c r="C6" t="n">
        <v>3.34</v>
      </c>
      <c r="D6" t="n">
        <v>3.47</v>
      </c>
      <c r="E6" t="n">
        <v>21.89</v>
      </c>
      <c r="F6" t="n">
        <v>25.07</v>
      </c>
      <c r="G6" t="n">
        <v>0.5600000000000001</v>
      </c>
      <c r="H6" t="n">
        <v>14.33</v>
      </c>
      <c r="I6" t="n">
        <v>1.96</v>
      </c>
      <c r="J6" t="n">
        <v>0.19</v>
      </c>
    </row>
    <row r="7">
      <c r="A7" t="n">
        <v>2018</v>
      </c>
      <c r="B7" t="n">
        <v>30.06</v>
      </c>
      <c r="C7" t="n">
        <v>3.31</v>
      </c>
      <c r="D7" t="n">
        <v>3.67</v>
      </c>
      <c r="E7" t="n">
        <v>23.14</v>
      </c>
      <c r="F7" t="n">
        <v>22.96</v>
      </c>
      <c r="G7" t="n">
        <v>0.53</v>
      </c>
      <c r="H7" t="n">
        <v>13.66</v>
      </c>
      <c r="I7" t="n">
        <v>2.47</v>
      </c>
      <c r="J7" t="n">
        <v>0.19</v>
      </c>
    </row>
    <row r="8">
      <c r="A8" t="n">
        <v>2019</v>
      </c>
      <c r="B8" t="n">
        <v>31.84</v>
      </c>
      <c r="C8" t="n">
        <v>3.34</v>
      </c>
      <c r="D8" t="n">
        <v>4.27</v>
      </c>
      <c r="E8" t="n">
        <v>23.27</v>
      </c>
      <c r="F8" t="n">
        <v>21.39</v>
      </c>
      <c r="G8" t="n">
        <v>0.51</v>
      </c>
      <c r="H8" t="n">
        <v>12.7</v>
      </c>
      <c r="I8" t="n">
        <v>2.48</v>
      </c>
      <c r="J8" t="n">
        <v>0.19</v>
      </c>
    </row>
    <row r="9">
      <c r="A9" t="n">
        <v>2020</v>
      </c>
      <c r="B9" t="n">
        <v>31.71</v>
      </c>
      <c r="C9" t="n">
        <v>3.64</v>
      </c>
      <c r="D9" t="n">
        <v>4.89</v>
      </c>
      <c r="E9" t="n">
        <v>26.73</v>
      </c>
      <c r="F9" t="n">
        <v>17.72</v>
      </c>
      <c r="G9" t="n">
        <v>0.53</v>
      </c>
      <c r="H9" t="n">
        <v>12.94</v>
      </c>
      <c r="I9" t="n">
        <v>1.66</v>
      </c>
      <c r="J9" t="n">
        <v>0.19</v>
      </c>
    </row>
    <row r="10">
      <c r="A10" t="n">
        <v>2021</v>
      </c>
      <c r="B10" s="3" t="inlineStr">
        <is>
          <t>???</t>
        </is>
      </c>
      <c r="C10" t="n">
        <v>3.56</v>
      </c>
      <c r="D10" t="n">
        <v>4.72</v>
      </c>
      <c r="E10" t="n">
        <v>28.15</v>
      </c>
      <c r="F10" t="n">
        <v>17.12</v>
      </c>
      <c r="G10" t="n">
        <v>0.55</v>
      </c>
      <c r="H10" t="n">
        <v>12.68</v>
      </c>
      <c r="I10" t="n">
        <v>1.67</v>
      </c>
      <c r="J10" t="n">
        <v>0.19</v>
      </c>
    </row>
    <row r="11">
      <c r="A11" t="n">
        <v>2022</v>
      </c>
      <c r="B11" t="n">
        <v>30.75</v>
      </c>
      <c r="C11" t="n">
        <v>3.56</v>
      </c>
      <c r="D11" t="n">
        <v>4.44</v>
      </c>
      <c r="E11" t="n">
        <v>30.2</v>
      </c>
      <c r="F11" t="n">
        <v>16.33</v>
      </c>
      <c r="G11" t="n">
        <v>0.58</v>
      </c>
      <c r="H11" t="n">
        <v>12.25</v>
      </c>
      <c r="I11" t="n">
        <v>1.71</v>
      </c>
      <c r="J11" t="n">
        <v>0.19</v>
      </c>
    </row>
    <row r="12">
      <c r="A12" t="n">
        <v>2023</v>
      </c>
      <c r="B12" t="n">
        <v>31.8</v>
      </c>
      <c r="C12" t="n">
        <v>3.6</v>
      </c>
      <c r="D12" t="n">
        <v>4.59</v>
      </c>
      <c r="E12" t="n">
        <v>29.32</v>
      </c>
      <c r="F12" t="n">
        <v>16.38</v>
      </c>
      <c r="G12" t="n">
        <v>0.55</v>
      </c>
      <c r="H12" t="n">
        <v>11.95</v>
      </c>
      <c r="I12" t="n">
        <v>1.63</v>
      </c>
      <c r="J12" t="n">
        <v>0.18</v>
      </c>
    </row>
    <row r="13">
      <c r="A13" t="n">
        <v>2024</v>
      </c>
      <c r="B13" t="n">
        <v>32.04</v>
      </c>
      <c r="C13" t="n">
        <v>3.67</v>
      </c>
      <c r="D13" t="n">
        <v>4.49</v>
      </c>
      <c r="E13" t="n">
        <v>28.92</v>
      </c>
      <c r="F13" t="n">
        <v>16.91</v>
      </c>
      <c r="G13" t="n">
        <v>0.54</v>
      </c>
      <c r="H13" t="n">
        <v>11.62</v>
      </c>
      <c r="I13" t="n">
        <v>1.64</v>
      </c>
      <c r="J13" t="n">
        <v>0.18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Growth Analysis (FY2019-2024)</t>
        </is>
      </c>
    </row>
    <row r="3">
      <c r="A3" s="2" t="inlineStr">
        <is>
          <t>Metric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inlineStr">
        <is>
          <t>5-Year CAGR (%)</t>
        </is>
      </c>
      <c r="B4" t="n">
        <v>4.09</v>
      </c>
      <c r="C4" t="n">
        <v>5.91</v>
      </c>
      <c r="D4" t="n">
        <v>4.98</v>
      </c>
      <c r="E4" s="3" t="inlineStr">
        <is>
          <t>???</t>
        </is>
      </c>
      <c r="F4" t="n">
        <v>-0.8100000000000001</v>
      </c>
      <c r="G4" t="n">
        <v>5.39</v>
      </c>
      <c r="H4" t="n">
        <v>2.14</v>
      </c>
      <c r="I4" t="n">
        <v>-4.29</v>
      </c>
      <c r="J4" t="n">
        <v>3.2</v>
      </c>
    </row>
    <row r="5">
      <c r="A5" t="inlineStr">
        <is>
          <t>FY2019 Budget ($M)</t>
        </is>
      </c>
      <c r="B5" t="n">
        <v>6906</v>
      </c>
      <c r="C5" t="n">
        <v>725</v>
      </c>
      <c r="D5" t="n">
        <v>927</v>
      </c>
      <c r="E5" s="3" t="inlineStr">
        <is>
          <t>???</t>
        </is>
      </c>
      <c r="F5" t="n">
        <v>4639</v>
      </c>
      <c r="G5" t="n">
        <v>110</v>
      </c>
      <c r="H5" t="n">
        <v>2755</v>
      </c>
      <c r="I5" t="n">
        <v>538</v>
      </c>
      <c r="J5" t="n">
        <v>41</v>
      </c>
    </row>
    <row r="6">
      <c r="A6" t="inlineStr">
        <is>
          <t>FY2024 Budget ($M)</t>
        </is>
      </c>
      <c r="B6" t="n">
        <v>8440</v>
      </c>
      <c r="C6" t="n">
        <v>966</v>
      </c>
      <c r="D6" t="n">
        <v>1182</v>
      </c>
      <c r="E6" t="n">
        <v>7618</v>
      </c>
      <c r="F6" t="n">
        <v>4454</v>
      </c>
      <c r="G6" t="n">
        <v>143</v>
      </c>
      <c r="H6" t="n">
        <v>3062</v>
      </c>
      <c r="I6" t="n">
        <v>432</v>
      </c>
      <c r="J6" t="n">
        <v>48</v>
      </c>
    </row>
    <row r="7">
      <c r="A7" t="inlineStr">
        <is>
          <t>5-Year Change ($M)</t>
        </is>
      </c>
      <c r="B7" s="3" t="inlineStr">
        <is>
          <t>???</t>
        </is>
      </c>
      <c r="C7" t="n">
        <v>241</v>
      </c>
      <c r="D7" t="n">
        <v>255</v>
      </c>
      <c r="E7" t="n">
        <v>2571</v>
      </c>
      <c r="F7" t="n">
        <v>-185</v>
      </c>
      <c r="G7" t="n">
        <v>33</v>
      </c>
      <c r="H7" t="n">
        <v>307</v>
      </c>
      <c r="I7" t="n">
        <v>-106</v>
      </c>
      <c r="J7" t="n">
        <v>7</v>
      </c>
    </row>
    <row r="8">
      <c r="A8" t="inlineStr">
        <is>
          <t>Avg Annual Budget ($M)</t>
        </is>
      </c>
      <c r="B8" s="3" t="inlineStr">
        <is>
          <t>???</t>
        </is>
      </c>
      <c r="C8" t="n">
        <v>859.3</v>
      </c>
      <c r="D8" t="n">
        <v>1100.2</v>
      </c>
      <c r="E8" t="n">
        <v>6721.8</v>
      </c>
      <c r="F8" t="n">
        <v>4227.7</v>
      </c>
      <c r="G8" t="n">
        <v>131</v>
      </c>
      <c r="H8" t="n">
        <v>2970.2</v>
      </c>
      <c r="I8" t="n">
        <v>430.2</v>
      </c>
      <c r="J8" t="n">
        <v>44.8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 Export Cache</t>
        </is>
      </c>
    </row>
    <row r="2">
      <c r="A2">
        <f>HYPERLINK("https://rd4-audit.invalid/cache","export")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2026-04-02T04:19:51Z</dcterms:modified>
</cp:coreProperties>
</file>